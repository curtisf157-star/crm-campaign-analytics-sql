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E5A01CB0-8F29-476A-9CD1-7094825B6996}" xr6:coauthVersionLast="47" xr6:coauthVersionMax="47" xr10:uidLastSave="{00000000-0000-0000-0000-000000000000}"/>
  <bookViews>
    <workbookView xWindow="240" yWindow="105" windowWidth="14805" windowHeight="8010" firstSheet="3" activeTab="4" xr2:uid="{00000000-000D-0000-FFFF-FFFF00000000}"/>
  </bookViews>
  <sheets>
    <sheet name="Campaign Performance" sheetId="1" r:id="rId1"/>
    <sheet name="Customer Segmentation" sheetId="3" r:id="rId2"/>
    <sheet name="Data Quality" sheetId="2" r:id="rId3"/>
    <sheet name="Dashboard" sheetId="4" r:id="rId4"/>
    <sheet name="Analysis Not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4" l="1"/>
  <c r="F6" i="4"/>
  <c r="D6" i="4"/>
  <c r="B6" i="4"/>
  <c r="J3" i="1"/>
  <c r="J4" i="1"/>
  <c r="I3" i="1"/>
  <c r="I4" i="1"/>
  <c r="H3" i="1"/>
  <c r="H4" i="1"/>
  <c r="J2" i="1"/>
  <c r="I2" i="1"/>
  <c r="H2" i="1"/>
  <c r="I4" i="3"/>
  <c r="I3" i="3"/>
  <c r="I2" i="3"/>
  <c r="B11" i="3"/>
  <c r="B10" i="3"/>
  <c r="B9" i="3"/>
  <c r="B8" i="3"/>
  <c r="F3" i="3"/>
  <c r="F4" i="3"/>
  <c r="F2" i="3"/>
  <c r="B12" i="1"/>
  <c r="B11" i="1"/>
  <c r="B10" i="1"/>
  <c r="B9" i="1"/>
  <c r="B8" i="1"/>
  <c r="F3" i="1"/>
  <c r="F4" i="1"/>
  <c r="F2" i="1"/>
</calcChain>
</file>

<file path=xl/sharedStrings.xml><?xml version="1.0" encoding="utf-8"?>
<sst xmlns="http://schemas.openxmlformats.org/spreadsheetml/2006/main" count="73" uniqueCount="54">
  <si>
    <t>campaign_name</t>
  </si>
  <si>
    <t>total_contacts</t>
  </si>
  <si>
    <t>total_responses</t>
  </si>
  <si>
    <t>opt_outs</t>
  </si>
  <si>
    <t>response_rate_pct</t>
  </si>
  <si>
    <t>excel_response_rate</t>
  </si>
  <si>
    <t>Campaign</t>
  </si>
  <si>
    <t>Responses</t>
  </si>
  <si>
    <t>Opt-Outs</t>
  </si>
  <si>
    <t>Loyalty Reminder</t>
  </si>
  <si>
    <t>Spring Offer</t>
  </si>
  <si>
    <t>Summer Preview</t>
  </si>
  <si>
    <t>CRM CAMPAIGN SUMMARY</t>
  </si>
  <si>
    <t>Total Campaign Contacts</t>
  </si>
  <si>
    <t>Total Responses</t>
  </si>
  <si>
    <t>Total Opt-Outs</t>
  </si>
  <si>
    <t>Overall Response Rate</t>
  </si>
  <si>
    <t>Total Campaigns</t>
  </si>
  <si>
    <t>customer_segment</t>
  </si>
  <si>
    <t>total_customers</t>
  </si>
  <si>
    <t>campaign_contacts</t>
  </si>
  <si>
    <t>Customer Segment</t>
  </si>
  <si>
    <t>Response Rate</t>
  </si>
  <si>
    <t>Loyal</t>
  </si>
  <si>
    <t>New</t>
  </si>
  <si>
    <t>At Risk</t>
  </si>
  <si>
    <t>CUSTOMER SEGMENT SUMMARY</t>
  </si>
  <si>
    <t>Total Customers</t>
  </si>
  <si>
    <t/>
  </si>
  <si>
    <t>Content</t>
  </si>
  <si>
    <t>CRM CAMPAIGN ANALYTICS</t>
  </si>
  <si>
    <t>Customer Engagement &amp; Data Quality</t>
  </si>
  <si>
    <t>TOTAL CUSTOMERS</t>
  </si>
  <si>
    <t>CAMPAIGN CONTACTS</t>
  </si>
  <si>
    <t>RESPONSE RATE</t>
  </si>
  <si>
    <t>DATA QUALITY FLAGS</t>
  </si>
  <si>
    <t>Section</t>
  </si>
  <si>
    <t>Analysis</t>
  </si>
  <si>
    <t>Objective</t>
  </si>
  <si>
    <t>Evaluate customer engagement across three synthetic CRM campaigns.</t>
  </si>
  <si>
    <t>Finding 1</t>
  </si>
  <si>
    <t>Loyal customers recorded the highest response rate at 75%.</t>
  </si>
  <si>
    <t>Finding 2</t>
  </si>
  <si>
    <t>New customers recorded a 40% response rate.</t>
  </si>
  <si>
    <t>Finding 3</t>
  </si>
  <si>
    <t>At Risk customers recorded the lowest response rate at 20%.</t>
  </si>
  <si>
    <t>Finding 4</t>
  </si>
  <si>
    <t>Campaign response rates were identical at 50%.</t>
  </si>
  <si>
    <t>Data Quality</t>
  </si>
  <si>
    <t>One customer had activity recorded after an earlier opt-out.</t>
  </si>
  <si>
    <t>Recommendation</t>
  </si>
  <si>
    <t>Investigate segment performance and review customer consent records before future targeting.</t>
  </si>
  <si>
    <t>Limitation</t>
  </si>
  <si>
    <t>The dataset is synthetic, small and unsuitable for drawing reliable conclusions about real customer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</si>
</sst>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3" fillId="0" borderId="0" xfId="0" quotePrefix="1" applyFont="1"/>
    <xf numFmtId="9" fontId="3" fillId="0" borderId="0" xfId="0" quotePrefix="1" applyNumberFormat="1" applyFont="1"/>
    <xf numFmtId="0" fontId="0" fillId="0" borderId="0" xfId="0" applyFont="1"/>
    <xf numFmtId="9" fontId="0" fillId="0" borderId="0" xfId="0" quotePrefix="1" applyNumberFormat="1"/>
    <xf numFmtId="0" fontId="4" fillId="0" borderId="0" xfId="0" applyFont="1" applyBorder="1" applyAlignment="1"/>
    <xf numFmtId="9" fontId="3" fillId="0" borderId="0" xfId="0" applyNumberFormat="1" applyFont="1"/>
    <xf numFmtId="0" fontId="1" fillId="0" borderId="0" xfId="0" applyNumberFormat="1" applyFont="1" applyBorder="1" applyAlignment="1"/>
    <xf numFmtId="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Responses vs Opt-Outs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'Campaign Performance'!$I$1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'Campaign Performance'!$H$2:$H$4</c:f>
              <c:strCache>
                <c:ptCount val="3"/>
                <c:pt idx="0">
                  <c:v>Loyalty Reminder</c:v>
                </c:pt>
                <c:pt idx="1">
                  <c:v>Spring Offer</c:v>
                </c:pt>
                <c:pt idx="2">
                  <c:v>Summer Preview</c:v>
                </c:pt>
              </c:strCache>
            </c:strRef>
          </c:cat>
          <c:val>
            <c:numRef>
              <c:f>'Campaign Performance'!$I$2:$I$4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E-46D8-9871-2132EE1849AC}"/>
            </c:ext>
          </c:extLst>
        </c:ser>
        <c:ser>
          <c:idx val="1"/>
          <c:order val="1"/>
          <c:tx>
            <c:strRef>
              <c:f>'Campaign Performance'!$J$1</c:f>
              <c:strCache>
                <c:ptCount val="1"/>
                <c:pt idx="0">
                  <c:v>Opt-Outs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'Campaign Performance'!$H$2:$H$4</c:f>
              <c:strCache>
                <c:ptCount val="3"/>
                <c:pt idx="0">
                  <c:v>Loyalty Reminder</c:v>
                </c:pt>
                <c:pt idx="1">
                  <c:v>Spring Offer</c:v>
                </c:pt>
                <c:pt idx="2">
                  <c:v>Summer Preview</c:v>
                </c:pt>
              </c:strCache>
            </c:strRef>
          </c:cat>
          <c:val>
            <c:numRef>
              <c:f>'Campaign Performance'!$J$2:$J$4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E-46D8-9871-2132EE184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948807"/>
        <c:axId val="743951367"/>
      </c:barChart>
      <c:catAx>
        <c:axId val="743948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51367"/>
        <c:crosses val="autoZero"/>
        <c:auto val="1"/>
        <c:lblAlgn val="ctr"/>
        <c:lblOffset val="100"/>
        <c:noMultiLvlLbl val="0"/>
      </c:catAx>
      <c:valAx>
        <c:axId val="74395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4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Response Rate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Segmentation'!$I$1</c:f>
              <c:strCache>
                <c:ptCount val="1"/>
                <c:pt idx="0">
                  <c:v>Response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Segmentation'!$H$2:$H$4</c:f>
              <c:strCache>
                <c:ptCount val="3"/>
                <c:pt idx="0">
                  <c:v>Loyal</c:v>
                </c:pt>
                <c:pt idx="1">
                  <c:v>New</c:v>
                </c:pt>
                <c:pt idx="2">
                  <c:v>At Risk</c:v>
                </c:pt>
              </c:strCache>
            </c:strRef>
          </c:cat>
          <c:val>
            <c:numRef>
              <c:f>'Customer Segmentation'!$I$2:$I$4</c:f>
              <c:numCache>
                <c:formatCode>0%</c:formatCode>
                <c:ptCount val="3"/>
                <c:pt idx="0">
                  <c:v>0.75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A-4AEE-A9F1-9D6F91E6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940103"/>
        <c:axId val="744515079"/>
      </c:barChart>
      <c:catAx>
        <c:axId val="74394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15079"/>
        <c:crosses val="autoZero"/>
        <c:auto val="1"/>
        <c:lblAlgn val="ctr"/>
        <c:lblOffset val="100"/>
        <c:noMultiLvlLbl val="0"/>
      </c:catAx>
      <c:valAx>
        <c:axId val="74451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4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28575</xdr:rowOff>
    </xdr:from>
    <xdr:to>
      <xdr:col>3</xdr:col>
      <xdr:colOff>838200</xdr:colOff>
      <xdr:row>20</xdr:row>
      <xdr:rowOff>104775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19953C0-226A-469C-8C41-32480680D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1114425</xdr:colOff>
      <xdr:row>6</xdr:row>
      <xdr:rowOff>0</xdr:rowOff>
    </xdr:from>
    <xdr:to>
      <xdr:col>7</xdr:col>
      <xdr:colOff>1257300</xdr:colOff>
      <xdr:row>20</xdr:row>
      <xdr:rowOff>133350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D679C10-4DD0-4B07-B509-1F6DB3D0E7B4}"/>
            </a:ext>
            <a:ext uri="{147F2762-F138-4A5C-976F-8EAC2B608ADB}">
              <a16:predDERef xmlns:a16="http://schemas.microsoft.com/office/drawing/2014/main" pred="{619953C0-226A-469C-8C41-32480680D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H12" sqref="H12"/>
    </sheetView>
  </sheetViews>
  <sheetFormatPr defaultRowHeight="15"/>
  <cols>
    <col min="1" max="1" width="26.140625" bestFit="1" customWidth="1"/>
    <col min="2" max="2" width="13.85546875" bestFit="1" customWidth="1"/>
    <col min="3" max="3" width="15.140625" bestFit="1" customWidth="1"/>
    <col min="4" max="4" width="9" bestFit="1" customWidth="1"/>
    <col min="5" max="5" width="17.85546875" bestFit="1" customWidth="1"/>
    <col min="6" max="6" width="19.5703125" bestFit="1" customWidth="1"/>
    <col min="8" max="8" width="16.42578125" bestFit="1" customWidth="1"/>
    <col min="9" max="9" width="10.5703125" bestFit="1" customWidth="1"/>
  </cols>
  <sheetData>
    <row r="1" spans="1:10" s="4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" t="s">
        <v>5</v>
      </c>
      <c r="H1" s="4" t="s">
        <v>6</v>
      </c>
      <c r="I1" s="4" t="s">
        <v>7</v>
      </c>
      <c r="J1" s="4" t="s">
        <v>8</v>
      </c>
    </row>
    <row r="2" spans="1:10">
      <c r="A2" s="1" t="s">
        <v>9</v>
      </c>
      <c r="B2" s="1">
        <v>6</v>
      </c>
      <c r="C2" s="1">
        <v>3</v>
      </c>
      <c r="D2" s="1">
        <v>1</v>
      </c>
      <c r="E2" s="1">
        <v>50</v>
      </c>
      <c r="F2" s="3">
        <f>IFERROR(C2/B2,0)</f>
        <v>0.5</v>
      </c>
      <c r="H2" t="str">
        <f>A2</f>
        <v>Loyalty Reminder</v>
      </c>
      <c r="I2">
        <f>C2</f>
        <v>3</v>
      </c>
      <c r="J2">
        <f>D2</f>
        <v>1</v>
      </c>
    </row>
    <row r="3" spans="1:10">
      <c r="A3" s="1" t="s">
        <v>10</v>
      </c>
      <c r="B3" s="1">
        <v>6</v>
      </c>
      <c r="C3" s="1">
        <v>3</v>
      </c>
      <c r="D3" s="1">
        <v>1</v>
      </c>
      <c r="E3" s="1">
        <v>50</v>
      </c>
      <c r="F3" s="3">
        <f t="shared" ref="F3:F4" si="0">IFERROR(C3/B3,0)</f>
        <v>0.5</v>
      </c>
      <c r="H3" t="str">
        <f t="shared" ref="H3:H4" si="1">A3</f>
        <v>Spring Offer</v>
      </c>
      <c r="I3">
        <f t="shared" ref="I3:I4" si="2">C3</f>
        <v>3</v>
      </c>
      <c r="J3">
        <f t="shared" ref="J3:J4" si="3">D3</f>
        <v>1</v>
      </c>
    </row>
    <row r="4" spans="1:10">
      <c r="A4" s="1" t="s">
        <v>11</v>
      </c>
      <c r="B4" s="1">
        <v>6</v>
      </c>
      <c r="C4" s="1">
        <v>3</v>
      </c>
      <c r="D4" s="1">
        <v>0</v>
      </c>
      <c r="E4" s="1">
        <v>50</v>
      </c>
      <c r="F4" s="3">
        <f t="shared" si="0"/>
        <v>0.5</v>
      </c>
      <c r="H4" t="str">
        <f t="shared" si="1"/>
        <v>Summer Preview</v>
      </c>
      <c r="I4">
        <f t="shared" si="2"/>
        <v>3</v>
      </c>
      <c r="J4">
        <f t="shared" si="3"/>
        <v>0</v>
      </c>
    </row>
    <row r="7" spans="1:10">
      <c r="A7" t="s">
        <v>12</v>
      </c>
      <c r="B7" s="4"/>
    </row>
    <row r="8" spans="1:10">
      <c r="A8" t="s">
        <v>13</v>
      </c>
      <c r="B8" s="7">
        <f>SUM(B2:B4)</f>
        <v>18</v>
      </c>
      <c r="F8" s="2"/>
    </row>
    <row r="9" spans="1:10">
      <c r="A9" t="s">
        <v>14</v>
      </c>
      <c r="B9" s="7">
        <f>SUM(C2:C4)</f>
        <v>9</v>
      </c>
    </row>
    <row r="10" spans="1:10">
      <c r="A10" s="6" t="s">
        <v>15</v>
      </c>
      <c r="B10" s="7">
        <f>SUM(D2:D4)</f>
        <v>2</v>
      </c>
    </row>
    <row r="11" spans="1:10">
      <c r="A11" s="6" t="s">
        <v>16</v>
      </c>
      <c r="B11" s="8">
        <f>IFERROR(B9/B8,0)</f>
        <v>0.5</v>
      </c>
    </row>
    <row r="12" spans="1:10">
      <c r="A12" s="6" t="s">
        <v>17</v>
      </c>
      <c r="B12" s="7">
        <f>COUNTA(A2:A4)</f>
        <v>3</v>
      </c>
    </row>
    <row r="14" spans="1:10">
      <c r="B14" s="5"/>
    </row>
    <row r="16" spans="1:10">
      <c r="B16" s="5"/>
    </row>
    <row r="18" spans="2:2">
      <c r="B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97D5-80B0-4CEE-8C18-98E0A298ECE8}">
  <dimension ref="A1:I17"/>
  <sheetViews>
    <sheetView topLeftCell="A3" workbookViewId="0">
      <selection activeCell="J14" sqref="J14"/>
    </sheetView>
  </sheetViews>
  <sheetFormatPr defaultRowHeight="15"/>
  <cols>
    <col min="1" max="1" width="30.140625" bestFit="1" customWidth="1"/>
    <col min="2" max="2" width="15.5703125" bestFit="1" customWidth="1"/>
    <col min="3" max="3" width="18.28515625" bestFit="1" customWidth="1"/>
    <col min="4" max="4" width="15.140625" bestFit="1" customWidth="1"/>
    <col min="5" max="5" width="17.85546875" bestFit="1" customWidth="1"/>
    <col min="6" max="6" width="19.5703125" bestFit="1" customWidth="1"/>
    <col min="8" max="8" width="18.140625" bestFit="1" customWidth="1"/>
    <col min="9" max="9" width="14.140625" bestFit="1" customWidth="1"/>
  </cols>
  <sheetData>
    <row r="1" spans="1:9">
      <c r="A1" s="1" t="s">
        <v>18</v>
      </c>
      <c r="B1" s="1" t="s">
        <v>19</v>
      </c>
      <c r="C1" s="1" t="s">
        <v>20</v>
      </c>
      <c r="D1" s="1" t="s">
        <v>2</v>
      </c>
      <c r="E1" s="1" t="s">
        <v>4</v>
      </c>
      <c r="F1" t="s">
        <v>5</v>
      </c>
      <c r="H1" t="s">
        <v>21</v>
      </c>
      <c r="I1" t="s">
        <v>22</v>
      </c>
    </row>
    <row r="2" spans="1:9">
      <c r="A2" s="1" t="s">
        <v>23</v>
      </c>
      <c r="B2" s="1">
        <v>4</v>
      </c>
      <c r="C2" s="1">
        <v>8</v>
      </c>
      <c r="D2" s="1">
        <v>6</v>
      </c>
      <c r="E2" s="1">
        <v>75</v>
      </c>
      <c r="F2" s="3">
        <f>IFERROR(D2/C2,0)</f>
        <v>0.75</v>
      </c>
      <c r="H2" t="s">
        <v>23</v>
      </c>
      <c r="I2" s="10">
        <f>F2</f>
        <v>0.75</v>
      </c>
    </row>
    <row r="3" spans="1:9">
      <c r="A3" s="1" t="s">
        <v>24</v>
      </c>
      <c r="B3" s="1">
        <v>5</v>
      </c>
      <c r="C3" s="1">
        <v>5</v>
      </c>
      <c r="D3" s="1">
        <v>2</v>
      </c>
      <c r="E3" s="1">
        <v>40</v>
      </c>
      <c r="F3" s="3">
        <f t="shared" ref="F3:F4" si="0">IFERROR(D3/C3,0)</f>
        <v>0.4</v>
      </c>
      <c r="H3" t="s">
        <v>24</v>
      </c>
      <c r="I3" s="10">
        <f>F3</f>
        <v>0.4</v>
      </c>
    </row>
    <row r="4" spans="1:9">
      <c r="A4" s="1" t="s">
        <v>25</v>
      </c>
      <c r="B4" s="1">
        <v>3</v>
      </c>
      <c r="C4" s="1">
        <v>5</v>
      </c>
      <c r="D4" s="1">
        <v>1</v>
      </c>
      <c r="E4" s="1">
        <v>20</v>
      </c>
      <c r="F4" s="3">
        <f t="shared" si="0"/>
        <v>0.2</v>
      </c>
      <c r="H4" t="s">
        <v>25</v>
      </c>
      <c r="I4" s="10">
        <f>F4</f>
        <v>0.2</v>
      </c>
    </row>
    <row r="5" spans="1:9">
      <c r="I5" s="5"/>
    </row>
    <row r="7" spans="1:9">
      <c r="A7" s="6" t="s">
        <v>26</v>
      </c>
    </row>
    <row r="8" spans="1:9">
      <c r="A8" s="9" t="s">
        <v>27</v>
      </c>
      <c r="B8" s="9">
        <f>SUM(B2:B4)</f>
        <v>12</v>
      </c>
    </row>
    <row r="9" spans="1:9">
      <c r="A9" s="6" t="s">
        <v>13</v>
      </c>
      <c r="B9">
        <f>SUM(C2:C4)</f>
        <v>18</v>
      </c>
    </row>
    <row r="10" spans="1:9">
      <c r="A10" s="6" t="s">
        <v>14</v>
      </c>
      <c r="B10">
        <f>SUM(D2:D4)</f>
        <v>9</v>
      </c>
    </row>
    <row r="11" spans="1:9">
      <c r="A11" s="6" t="s">
        <v>16</v>
      </c>
      <c r="B11" s="10">
        <f>IFERROR(B10/B9,0)</f>
        <v>0.5</v>
      </c>
    </row>
    <row r="13" spans="1:9">
      <c r="B13" s="5" t="s">
        <v>28</v>
      </c>
    </row>
    <row r="15" spans="1:9">
      <c r="B15" s="5" t="s">
        <v>28</v>
      </c>
    </row>
    <row r="17" spans="2:2">
      <c r="B17" s="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CBEF-A0A0-4E81-B112-E52AA82018CB}">
  <dimension ref="A1:E4"/>
  <sheetViews>
    <sheetView workbookViewId="0">
      <selection activeCell="E1" sqref="E1:E1048576"/>
    </sheetView>
  </sheetViews>
  <sheetFormatPr defaultRowHeight="15"/>
  <cols>
    <col min="1" max="1" width="18.28515625" bestFit="1" customWidth="1"/>
    <col min="2" max="2" width="15.5703125" bestFit="1" customWidth="1"/>
    <col min="3" max="3" width="18.28515625" bestFit="1" customWidth="1"/>
    <col min="4" max="4" width="15.140625" bestFit="1" customWidth="1"/>
    <col min="5" max="5" width="17.85546875" style="14" bestFit="1" customWidth="1"/>
  </cols>
  <sheetData>
    <row r="1" spans="1:5">
      <c r="A1" s="1" t="s">
        <v>18</v>
      </c>
      <c r="B1" s="1" t="s">
        <v>19</v>
      </c>
      <c r="C1" s="1" t="s">
        <v>20</v>
      </c>
      <c r="D1" s="1" t="s">
        <v>2</v>
      </c>
      <c r="E1" s="13" t="s">
        <v>4</v>
      </c>
    </row>
    <row r="2" spans="1:5">
      <c r="A2" s="1" t="s">
        <v>23</v>
      </c>
      <c r="B2" s="1">
        <v>4</v>
      </c>
      <c r="C2" s="1">
        <v>8</v>
      </c>
      <c r="D2" s="1">
        <v>6</v>
      </c>
      <c r="E2" s="13">
        <v>75</v>
      </c>
    </row>
    <row r="3" spans="1:5">
      <c r="A3" s="1" t="s">
        <v>24</v>
      </c>
      <c r="B3" s="1">
        <v>5</v>
      </c>
      <c r="C3" s="1">
        <v>5</v>
      </c>
      <c r="D3" s="1">
        <v>2</v>
      </c>
      <c r="E3" s="13">
        <v>40</v>
      </c>
    </row>
    <row r="4" spans="1:5">
      <c r="A4" s="1" t="s">
        <v>25</v>
      </c>
      <c r="B4" s="1">
        <v>3</v>
      </c>
      <c r="C4" s="1">
        <v>5</v>
      </c>
      <c r="D4" s="1">
        <v>1</v>
      </c>
      <c r="E4" s="1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2701-C7FF-4BBF-A397-C26730410C5F}">
  <dimension ref="A1:H6"/>
  <sheetViews>
    <sheetView workbookViewId="0">
      <selection activeCell="G25" sqref="G25"/>
    </sheetView>
  </sheetViews>
  <sheetFormatPr defaultRowHeight="15"/>
  <cols>
    <col min="1" max="1" width="3.5703125" bestFit="1" customWidth="1"/>
    <col min="2" max="2" width="35.140625" bestFit="1" customWidth="1"/>
    <col min="4" max="4" width="21.140625" bestFit="1" customWidth="1"/>
    <col min="6" max="6" width="19.85546875" bestFit="1" customWidth="1"/>
    <col min="8" max="8" width="19.85546875" bestFit="1" customWidth="1"/>
  </cols>
  <sheetData>
    <row r="1" spans="1:8">
      <c r="A1" s="4"/>
      <c r="B1" s="4" t="s">
        <v>29</v>
      </c>
    </row>
    <row r="2" spans="1:8">
      <c r="B2" t="s">
        <v>30</v>
      </c>
    </row>
    <row r="3" spans="1:8">
      <c r="B3" t="s">
        <v>31</v>
      </c>
    </row>
    <row r="5" spans="1:8">
      <c r="B5" s="6" t="s">
        <v>32</v>
      </c>
      <c r="D5" s="6" t="s">
        <v>33</v>
      </c>
      <c r="F5" s="6" t="s">
        <v>34</v>
      </c>
      <c r="H5" s="6" t="s">
        <v>35</v>
      </c>
    </row>
    <row r="6" spans="1:8">
      <c r="B6" s="6">
        <f>'Customer Segmentation'!B8</f>
        <v>12</v>
      </c>
      <c r="D6" s="6">
        <f>'Customer Segmentation'!B8</f>
        <v>12</v>
      </c>
      <c r="F6" s="12">
        <f>'Campaign Performance'!B11</f>
        <v>0.5</v>
      </c>
      <c r="H6" s="6">
        <f>SUM('Data Quality'!B2:B5)</f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01D1-A310-4F5B-A05C-2FD5AE1A2AE6}">
  <dimension ref="A1:B9"/>
  <sheetViews>
    <sheetView tabSelected="1" workbookViewId="0">
      <selection sqref="A1:XFD1048576"/>
    </sheetView>
  </sheetViews>
  <sheetFormatPr defaultRowHeight="18.75"/>
  <cols>
    <col min="1" max="1" width="21.140625" style="16" bestFit="1" customWidth="1"/>
    <col min="2" max="2" width="125.28515625" style="16" bestFit="1" customWidth="1"/>
    <col min="3" max="16384" width="9.140625" style="16"/>
  </cols>
  <sheetData>
    <row r="1" spans="1:2">
      <c r="A1" s="15" t="s">
        <v>36</v>
      </c>
      <c r="B1" s="15" t="s">
        <v>37</v>
      </c>
    </row>
    <row r="2" spans="1:2">
      <c r="A2" s="16" t="s">
        <v>38</v>
      </c>
      <c r="B2" s="16" t="s">
        <v>39</v>
      </c>
    </row>
    <row r="3" spans="1:2">
      <c r="A3" s="16" t="s">
        <v>40</v>
      </c>
      <c r="B3" s="16" t="s">
        <v>41</v>
      </c>
    </row>
    <row r="4" spans="1:2">
      <c r="A4" s="16" t="s">
        <v>42</v>
      </c>
      <c r="B4" s="16" t="s">
        <v>43</v>
      </c>
    </row>
    <row r="5" spans="1:2">
      <c r="A5" s="16" t="s">
        <v>44</v>
      </c>
      <c r="B5" s="16" t="s">
        <v>45</v>
      </c>
    </row>
    <row r="6" spans="1:2">
      <c r="A6" s="16" t="s">
        <v>46</v>
      </c>
      <c r="B6" s="16" t="s">
        <v>47</v>
      </c>
    </row>
    <row r="7" spans="1:2">
      <c r="A7" s="16" t="s">
        <v>48</v>
      </c>
      <c r="B7" s="16" t="s">
        <v>49</v>
      </c>
    </row>
    <row r="8" spans="1:2">
      <c r="A8" s="16" t="s">
        <v>50</v>
      </c>
      <c r="B8" s="16" t="s">
        <v>51</v>
      </c>
    </row>
    <row r="9" spans="1:2">
      <c r="A9" s="16" t="s">
        <v>52</v>
      </c>
      <c r="B9" s="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2026-10-11T18:39:38Z</dcterms:created>
  <dcterms:modified xsi:type="dcterms:W3CDTF">2026-10-11T22:53:29Z</dcterms:modified>
  <cp:category/>
  <cp:contentStatus/>
</cp:coreProperties>
</file>